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4355" windowHeight="4695"/>
  </bookViews>
  <sheets>
    <sheet name="Sheet1" sheetId="1" r:id="rId1"/>
    <sheet name="Dashboard" sheetId="2" r:id="rId2"/>
    <sheet name="Sheet7" sheetId="7" r:id="rId3"/>
    <sheet name="Sheet6" sheetId="6" r:id="rId4"/>
    <sheet name="Sheet4" sheetId="4" r:id="rId5"/>
  </sheets>
  <definedNames>
    <definedName name="_xlnm._FilterDatabase" localSheetId="0" hidden="1">Sheet1!$A$1:$H$26</definedName>
    <definedName name="Slicer_Category">#N/A</definedName>
    <definedName name="Slicer_Region">#N/A</definedName>
  </definedNames>
  <calcPr calcId="145621"/>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5" i="2" l="1"/>
  <c r="B3" i="2"/>
  <c r="B7" i="2" s="1"/>
  <c r="B1" i="2"/>
</calcChain>
</file>

<file path=xl/sharedStrings.xml><?xml version="1.0" encoding="utf-8"?>
<sst xmlns="http://schemas.openxmlformats.org/spreadsheetml/2006/main" count="99" uniqueCount="34">
  <si>
    <t>Order ID</t>
  </si>
  <si>
    <t>Date</t>
  </si>
  <si>
    <t>Product</t>
  </si>
  <si>
    <t>Category</t>
  </si>
  <si>
    <t>Region</t>
  </si>
  <si>
    <t>Quantity</t>
  </si>
  <si>
    <t>Sales</t>
  </si>
  <si>
    <t>profit</t>
  </si>
  <si>
    <t>Laptop</t>
  </si>
  <si>
    <t>Mobile Phone</t>
  </si>
  <si>
    <t>Office Chair</t>
  </si>
  <si>
    <t>Desk</t>
  </si>
  <si>
    <t>Printer</t>
  </si>
  <si>
    <t>Tablet</t>
  </si>
  <si>
    <t>Bookshelf</t>
  </si>
  <si>
    <t>Monitor</t>
  </si>
  <si>
    <t>Sofa</t>
  </si>
  <si>
    <t>Keyboard</t>
  </si>
  <si>
    <t>Mouse</t>
  </si>
  <si>
    <t>Headphones</t>
  </si>
  <si>
    <t>Electronics</t>
  </si>
  <si>
    <t>Furniture</t>
  </si>
  <si>
    <t>Accessories</t>
  </si>
  <si>
    <t>North</t>
  </si>
  <si>
    <t>West</t>
  </si>
  <si>
    <t>South</t>
  </si>
  <si>
    <t>East</t>
  </si>
  <si>
    <t>Total sales</t>
  </si>
  <si>
    <t>Total profit</t>
  </si>
  <si>
    <t>Total orders</t>
  </si>
  <si>
    <t>Profit margin</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</si>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</sst>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0" fontId="0" fillId="0" borderId="0" xfId="0" applyNumberFormat="1"/>
    <xf numFmtId="0" fontId="0" fillId="2" borderId="0" xfId="0" applyFill="1"/>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[Book1.xlsx]Sheet7!PivotTable4</c:name>
    <c:fmtId val="0"/>
  </c:pivotSource>
  <c:chart>
    <c:title>
      <c:layout/>
      <c:overlay val="0"/>
    </c:title>
    <c:autoTitleDeleted val="0"/>
    <c:pivotFmts>
      <c:pivotFmt>
        <c:idx val="0"/>
        <c:marker>
          <c:symbol val="none"/>
        </c:marker>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Sheet7!$B$3</c:f>
              <c:strCache>
                <c:ptCount val="1"/>
                <c:pt idx="0">
                  <c:v>Total</c:v>
                </c:pt>
              </c:strCache>
            </c:strRef>
          </c:tx>
          <c:invertIfNegative val="0"/>
          <c:cat>
            <c:strRef>
              <c:f>Sheet7!$A$4:$A$7</c:f>
              <c:strCache>
                <c:ptCount val="3"/>
                <c:pt idx="0">
                  <c:v>Laptop</c:v>
                </c:pt>
                <c:pt idx="1">
                  <c:v>Printer</c:v>
                </c:pt>
                <c:pt idx="2">
                  <c:v>Tablet</c:v>
                </c:pt>
              </c:strCache>
            </c:strRef>
          </c:cat>
          <c:val>
            <c:numRef>
              <c:f>Sheet7!$B$4:$B$7</c:f>
              <c:numCache>
                <c:formatCode>General</c:formatCode>
                <c:ptCount val="3"/>
                <c:pt idx="0">
                  <c:v>286000</c:v>
                </c:pt>
                <c:pt idx="1">
                  <c:v>60000</c:v>
                </c:pt>
                <c:pt idx="2">
                  <c:v>100000</c:v>
                </c:pt>
              </c:numCache>
            </c:numRef>
          </c:val>
        </c:ser>
        <c:dLbls>
          <c:showLegendKey val="0"/>
          <c:showVal val="0"/>
          <c:showCatName val="0"/>
          <c:showSerName val="0"/>
          <c:showPercent val="0"/>
          <c:showBubbleSize val="0"/>
        </c:dLbls>
        <c:gapWidth val="150"/>
        <c:shape val="box"/>
        <c:axId val="146530304"/>
        <c:axId val="60494912"/>
        <c:axId val="0"/>
      </c:bar3DChart>
      <c:catAx>
        <c:axId val="146530304"/>
        <c:scaling>
          <c:orientation val="minMax"/>
        </c:scaling>
        <c:delete val="0"/>
        <c:axPos val="l"/>
        <c:majorTickMark val="out"/>
        <c:minorTickMark val="none"/>
        <c:tickLblPos val="nextTo"/>
        <c:crossAx val="60494912"/>
        <c:crosses val="autoZero"/>
        <c:auto val="1"/>
        <c:lblAlgn val="ctr"/>
        <c:lblOffset val="100"/>
        <c:noMultiLvlLbl val="0"/>
      </c:catAx>
      <c:valAx>
        <c:axId val="60494912"/>
        <c:scaling>
          <c:orientation val="minMax"/>
        </c:scaling>
        <c:delete val="0"/>
        <c:axPos val="b"/>
        <c:majorGridlines/>
        <c:numFmt formatCode="General" sourceLinked="1"/>
        <c:majorTickMark val="out"/>
        <c:minorTickMark val="none"/>
        <c:tickLblPos val="nextTo"/>
        <c:crossAx val="146530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[Book1.xlsx]Sheet6!PivotTable3</c:name>
    <c:fmtId val="0"/>
  </c:pivotSource>
  <c:chart>
    <c:title>
      <c:layout/>
      <c:overlay val="0"/>
    </c:title>
    <c:autoTitleDeleted val="0"/>
    <c:pivotFmts>
      <c:pivotFmt>
        <c:idx val="0"/>
        <c:marker>
          <c:symbol val="none"/>
        </c:marker>
      </c:pivotFmt>
    </c:pivotFmts>
    <c:plotArea>
      <c:layout/>
      <c:lineChart>
        <c:grouping val="stacked"/>
        <c:varyColors val="0"/>
        <c:ser>
          <c:idx val="0"/>
          <c:order val="0"/>
          <c:tx>
            <c:strRef>
              <c:f>Sheet6!$B$3</c:f>
              <c:strCache>
                <c:ptCount val="1"/>
                <c:pt idx="0">
                  <c:v>Total</c:v>
                </c:pt>
              </c:strCache>
            </c:strRef>
          </c:tx>
          <c:marker>
            <c:symbol val="none"/>
          </c:marker>
          <c:cat>
            <c:strRef>
              <c:f>Sheet6!$A$4:$A$15</c:f>
              <c:strCache>
                <c:ptCount val="11"/>
                <c:pt idx="0">
                  <c:v>03-01-26</c:v>
                </c:pt>
                <c:pt idx="1">
                  <c:v>05-01-26</c:v>
                </c:pt>
                <c:pt idx="2">
                  <c:v>12-01-26</c:v>
                </c:pt>
                <c:pt idx="3">
                  <c:v>14-01-26</c:v>
                </c:pt>
                <c:pt idx="4">
                  <c:v>18-01-26</c:v>
                </c:pt>
                <c:pt idx="5">
                  <c:v>01-02-26</c:v>
                </c:pt>
                <c:pt idx="6">
                  <c:v>03-02-26</c:v>
                </c:pt>
                <c:pt idx="7">
                  <c:v>07-02-26</c:v>
                </c:pt>
                <c:pt idx="8">
                  <c:v>09-02-26</c:v>
                </c:pt>
                <c:pt idx="9">
                  <c:v>14-02-26</c:v>
                </c:pt>
                <c:pt idx="10">
                  <c:v>27-02-26</c:v>
                </c:pt>
              </c:strCache>
            </c:strRef>
          </c:cat>
          <c:val>
            <c:numRef>
              <c:f>Sheet6!$B$4:$B$15</c:f>
              <c:numCache>
                <c:formatCode>General</c:formatCode>
                <c:ptCount val="11"/>
                <c:pt idx="0">
                  <c:v>110000</c:v>
                </c:pt>
                <c:pt idx="1">
                  <c:v>75000</c:v>
                </c:pt>
                <c:pt idx="2">
                  <c:v>60000</c:v>
                </c:pt>
                <c:pt idx="3">
                  <c:v>54000</c:v>
                </c:pt>
                <c:pt idx="4">
                  <c:v>72000</c:v>
                </c:pt>
                <c:pt idx="5">
                  <c:v>60000</c:v>
                </c:pt>
                <c:pt idx="6">
                  <c:v>88000</c:v>
                </c:pt>
                <c:pt idx="7">
                  <c:v>34000</c:v>
                </c:pt>
                <c:pt idx="8">
                  <c:v>100000</c:v>
                </c:pt>
                <c:pt idx="9">
                  <c:v>52000</c:v>
                </c:pt>
                <c:pt idx="10">
                  <c:v>116000</c:v>
                </c:pt>
              </c:numCache>
            </c:numRef>
          </c:val>
          <c:smooth val="0"/>
        </c:ser>
        <c:dLbls>
          <c:showLegendKey val="0"/>
          <c:showVal val="0"/>
          <c:showCatName val="0"/>
          <c:showSerName val="0"/>
          <c:showPercent val="0"/>
          <c:showBubbleSize val="0"/>
        </c:dLbls>
        <c:marker val="1"/>
        <c:smooth val="0"/>
        <c:axId val="146531840"/>
        <c:axId val="60496640"/>
      </c:lineChart>
      <c:catAx>
        <c:axId val="146531840"/>
        <c:scaling>
          <c:orientation val="minMax"/>
        </c:scaling>
        <c:delete val="0"/>
        <c:axPos val="b"/>
        <c:majorTickMark val="out"/>
        <c:minorTickMark val="none"/>
        <c:tickLblPos val="nextTo"/>
        <c:crossAx val="60496640"/>
        <c:crosses val="autoZero"/>
        <c:auto val="1"/>
        <c:lblAlgn val="ctr"/>
        <c:lblOffset val="100"/>
        <c:noMultiLvlLbl val="0"/>
      </c:catAx>
      <c:valAx>
        <c:axId val="60496640"/>
        <c:scaling>
          <c:orientation val="minMax"/>
        </c:scaling>
        <c:delete val="0"/>
        <c:axPos val="l"/>
        <c:majorGridlines/>
        <c:numFmt formatCode="General" sourceLinked="1"/>
        <c:majorTickMark val="out"/>
        <c:minorTickMark val="none"/>
        <c:tickLblPos val="nextTo"/>
        <c:crossAx val="146531840"/>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38100</xdr:colOff>
      <xdr:row>5</xdr:row>
      <xdr:rowOff>180975</xdr:rowOff>
    </xdr:from>
    <xdr:to>
      <xdr:col>11</xdr:col>
      <xdr:colOff>342900</xdr:colOff>
      <xdr:row>20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85725</xdr:colOff>
      <xdr:row>5</xdr:row>
      <xdr:rowOff>47625</xdr:rowOff>
    </xdr:from>
    <xdr:to>
      <xdr:col>16</xdr:col>
      <xdr:colOff>85725</xdr:colOff>
      <xdr:row>18</xdr:row>
      <xdr:rowOff>95250</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77250" y="1000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5</xdr:row>
      <xdr:rowOff>114300</xdr:rowOff>
    </xdr:from>
    <xdr:to>
      <xdr:col>19</xdr:col>
      <xdr:colOff>266700</xdr:colOff>
      <xdr:row>18</xdr:row>
      <xdr:rowOff>161925</xdr:rowOff>
    </xdr:to>
    <mc:AlternateContent xmlns:mc="http://schemas.openxmlformats.org/markup-compatibility/2006" xmlns:a14="http://schemas.microsoft.com/office/drawing/2010/main">
      <mc:Choice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87025" y="1066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142875</xdr:colOff>
      <xdr:row>2</xdr:row>
      <xdr:rowOff>57150</xdr:rowOff>
    </xdr:from>
    <xdr:to>
      <xdr:col>11</xdr:col>
      <xdr:colOff>447675</xdr:colOff>
      <xdr:row>16</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FAIRY" refreshedDate="45822.544749074077" createdVersion="4" refreshedVersion="4" minRefreshableVersion="3" recordCount="25">
  <cacheSource type="worksheet">
    <worksheetSource ref="A1:H26" sheet="Sheet1"/>
  </cacheSource>
  <cacheFields count="8">
    <cacheField name="Order ID" numFmtId="0">
      <sharedItems containsSemiMixedTypes="0" containsString="0" containsNumber="1" containsInteger="1" minValue="1001" maxValue="1025"/>
    </cacheField>
    <cacheField name="Date" numFmtId="14">
      <sharedItems containsSemiMixedTypes="0" containsNonDate="0" containsDate="1" containsString="0" minDate="2026-01-03T00:00:00" maxDate="2026-02-28T00:00:00" count="25">
        <d v="2026-01-03T00:00:00"/>
        <d v="2026-01-05T00:00:00"/>
        <d v="2026-01-08T00:00:00"/>
        <d v="2026-01-10T00:00:00"/>
        <d v="2026-01-12T00:00:00"/>
        <d v="2026-01-14T00:00:00"/>
        <d v="2026-01-16T00:00:00"/>
        <d v="2026-01-18T00:00:00"/>
        <d v="2026-01-20T00:00:00"/>
        <d v="2026-01-22T00:00:00"/>
        <d v="2026-01-25T00:00:00"/>
        <d v="2026-01-27T00:00:00"/>
        <d v="2026-02-01T00:00:00"/>
        <d v="2026-02-03T00:00:00"/>
        <d v="2026-02-05T00:00:00"/>
        <d v="2026-02-07T00:00:00"/>
        <d v="2026-02-09T00:00:00"/>
        <d v="2026-02-11T00:00:00"/>
        <d v="2026-02-14T00:00:00"/>
        <d v="2026-02-16T00:00:00"/>
        <d v="2026-02-18T00:00:00"/>
        <d v="2026-02-20T00:00:00"/>
        <d v="2026-02-23T00:00:00"/>
        <d v="2026-02-25T00:00:00"/>
        <d v="2026-02-27T00:00:00"/>
      </sharedItems>
    </cacheField>
    <cacheField name="Product" numFmtId="0">
      <sharedItems count="12">
        <s v="Laptop"/>
        <s v="Mobile Phone"/>
        <s v="Office Chair"/>
        <s v="Desk"/>
        <s v="Printer"/>
        <s v="Tablet"/>
        <s v="Bookshelf"/>
        <s v="Monitor"/>
        <s v="Sofa"/>
        <s v="Keyboard"/>
        <s v="Mouse"/>
        <s v="Headphones"/>
      </sharedItems>
    </cacheField>
    <cacheField name="Category" numFmtId="0">
      <sharedItems count="3">
        <s v="Electronics"/>
        <s v="Furniture"/>
        <s v="Accessories"/>
      </sharedItems>
    </cacheField>
    <cacheField name="Region" numFmtId="0">
      <sharedItems count="4">
        <s v="North"/>
        <s v="West"/>
        <s v="South"/>
        <s v="East"/>
      </sharedItems>
    </cacheField>
    <cacheField name="Quantity" numFmtId="0">
      <sharedItems containsSemiMixedTypes="0" containsString="0" containsNumber="1" containsInteger="1" minValue="1" maxValue="20"/>
    </cacheField>
    <cacheField name="Sales" numFmtId="0">
      <sharedItems containsSemiMixedTypes="0" containsString="0" containsNumber="1" containsInteger="1" minValue="9600" maxValue="116000"/>
    </cacheField>
    <cacheField name="profit" numFmtId="0">
      <sharedItems containsSemiMixedTypes="0" containsString="0" containsNumber="1" containsInteger="1" minValue="3200" maxValue="2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
  <r>
    <n v="1001"/>
    <x v="0"/>
    <x v="0"/>
    <x v="0"/>
    <x v="0"/>
    <n v="2"/>
    <n v="110000"/>
    <n v="18000"/>
  </r>
  <r>
    <n v="1002"/>
    <x v="1"/>
    <x v="1"/>
    <x v="0"/>
    <x v="1"/>
    <n v="3"/>
    <n v="75000"/>
    <n v="12000"/>
  </r>
  <r>
    <n v="1003"/>
    <x v="2"/>
    <x v="2"/>
    <x v="1"/>
    <x v="2"/>
    <n v="5"/>
    <n v="35000"/>
    <n v="8000"/>
  </r>
  <r>
    <n v="1004"/>
    <x v="3"/>
    <x v="3"/>
    <x v="1"/>
    <x v="3"/>
    <n v="2"/>
    <n v="24000"/>
    <n v="5000"/>
  </r>
  <r>
    <n v="1005"/>
    <x v="4"/>
    <x v="4"/>
    <x v="0"/>
    <x v="0"/>
    <n v="4"/>
    <n v="60000"/>
    <n v="10000"/>
  </r>
  <r>
    <n v="1006"/>
    <x v="5"/>
    <x v="5"/>
    <x v="0"/>
    <x v="1"/>
    <n v="3"/>
    <n v="54000"/>
    <n v="9000"/>
  </r>
  <r>
    <n v="1007"/>
    <x v="6"/>
    <x v="6"/>
    <x v="1"/>
    <x v="2"/>
    <n v="2"/>
    <n v="18000"/>
    <n v="4000"/>
  </r>
  <r>
    <n v="1008"/>
    <x v="7"/>
    <x v="7"/>
    <x v="0"/>
    <x v="3"/>
    <n v="6"/>
    <n v="72000"/>
    <n v="14000"/>
  </r>
  <r>
    <n v="1009"/>
    <x v="8"/>
    <x v="8"/>
    <x v="1"/>
    <x v="0"/>
    <n v="1"/>
    <n v="45000"/>
    <n v="10000"/>
  </r>
  <r>
    <n v="1010"/>
    <x v="9"/>
    <x v="9"/>
    <x v="2"/>
    <x v="1"/>
    <n v="10"/>
    <n v="15000"/>
    <n v="5000"/>
  </r>
  <r>
    <n v="1011"/>
    <x v="10"/>
    <x v="10"/>
    <x v="2"/>
    <x v="2"/>
    <n v="12"/>
    <n v="9600"/>
    <n v="3200"/>
  </r>
  <r>
    <n v="1012"/>
    <x v="11"/>
    <x v="11"/>
    <x v="2"/>
    <x v="3"/>
    <n v="7"/>
    <n v="21000"/>
    <n v="7000"/>
  </r>
  <r>
    <n v="1013"/>
    <x v="12"/>
    <x v="0"/>
    <x v="0"/>
    <x v="0"/>
    <n v="1"/>
    <n v="60000"/>
    <n v="15000"/>
  </r>
  <r>
    <n v="1014"/>
    <x v="13"/>
    <x v="1"/>
    <x v="0"/>
    <x v="1"/>
    <n v="4"/>
    <n v="88000"/>
    <n v="16000"/>
  </r>
  <r>
    <n v="1015"/>
    <x v="14"/>
    <x v="3"/>
    <x v="1"/>
    <x v="2"/>
    <n v="3"/>
    <n v="33000"/>
    <n v="7000"/>
  </r>
  <r>
    <n v="1016"/>
    <x v="15"/>
    <x v="4"/>
    <x v="0"/>
    <x v="3"/>
    <n v="2"/>
    <n v="34000"/>
    <n v="6000"/>
  </r>
  <r>
    <n v="1017"/>
    <x v="16"/>
    <x v="5"/>
    <x v="0"/>
    <x v="0"/>
    <n v="5"/>
    <n v="100000"/>
    <n v="18000"/>
  </r>
  <r>
    <n v="1018"/>
    <x v="17"/>
    <x v="8"/>
    <x v="1"/>
    <x v="1"/>
    <n v="2"/>
    <n v="100000"/>
    <n v="22000"/>
  </r>
  <r>
    <n v="1019"/>
    <x v="18"/>
    <x v="7"/>
    <x v="0"/>
    <x v="2"/>
    <n v="4"/>
    <n v="52000"/>
    <n v="9000"/>
  </r>
  <r>
    <n v="1020"/>
    <x v="19"/>
    <x v="9"/>
    <x v="2"/>
    <x v="3"/>
    <n v="15"/>
    <n v="21000"/>
    <n v="6500"/>
  </r>
  <r>
    <n v="1021"/>
    <x v="20"/>
    <x v="10"/>
    <x v="2"/>
    <x v="0"/>
    <n v="20"/>
    <n v="15000"/>
    <n v="4500"/>
  </r>
  <r>
    <n v="1022"/>
    <x v="21"/>
    <x v="11"/>
    <x v="2"/>
    <x v="1"/>
    <n v="6"/>
    <n v="21000"/>
    <n v="7000"/>
  </r>
  <r>
    <n v="1023"/>
    <x v="22"/>
    <x v="2"/>
    <x v="1"/>
    <x v="2"/>
    <n v="3"/>
    <n v="24000"/>
    <n v="5500"/>
  </r>
  <r>
    <n v="1024"/>
    <x v="23"/>
    <x v="6"/>
    <x v="1"/>
    <x v="3"/>
    <n v="4"/>
    <n v="38000"/>
    <n v="8000"/>
  </r>
  <r>
    <n v="1025"/>
    <x v="24"/>
    <x v="0"/>
    <x v="0"/>
    <x v="0"/>
    <n v="2"/>
    <n v="11600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7" firstHeaderRow="1" firstDataRow="1" firstDataCol="1"/>
  <pivotFields count="8">
    <pivotField showAll="0"/>
    <pivotField numFmtId="14" showAll="0"/>
    <pivotField axis="axisRow" showAll="0">
      <items count="13">
        <item x="6"/>
        <item x="3"/>
        <item x="11"/>
        <item x="9"/>
        <item x="0"/>
        <item x="1"/>
        <item x="7"/>
        <item x="10"/>
        <item x="2"/>
        <item x="4"/>
        <item x="8"/>
        <item x="5"/>
        <item t="default"/>
      </items>
    </pivotField>
    <pivotField showAll="0">
      <items count="4">
        <item h="1" x="2"/>
        <item x="0"/>
        <item h="1" x="1"/>
        <item t="default"/>
      </items>
    </pivotField>
    <pivotField showAll="0">
      <items count="5">
        <item h="1" x="3"/>
        <item x="0"/>
        <item h="1" x="2"/>
        <item h="1" x="1"/>
        <item t="default"/>
      </items>
    </pivotField>
    <pivotField showAll="0"/>
    <pivotField dataField="1" showAll="0"/>
    <pivotField showAll="0"/>
  </pivotFields>
  <rowFields count="1">
    <field x="2"/>
  </rowFields>
  <rowItems count="4">
    <i>
      <x v="4"/>
    </i>
    <i>
      <x v="9"/>
    </i>
    <i>
      <x v="11"/>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15" firstHeaderRow="1" firstDataRow="1" firstDataCol="1"/>
  <pivotFields count="8">
    <pivotField showAll="0"/>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items count="4">
        <item h="1" x="2"/>
        <item x="0"/>
        <item h="1" x="1"/>
        <item t="default"/>
      </items>
    </pivotField>
    <pivotField showAll="0"/>
    <pivotField showAll="0"/>
    <pivotField dataField="1" showAll="0"/>
    <pivotField showAll="0"/>
  </pivotFields>
  <rowFields count="1">
    <field x="1"/>
  </rowFields>
  <rowItems count="12">
    <i>
      <x/>
    </i>
    <i>
      <x v="1"/>
    </i>
    <i>
      <x v="4"/>
    </i>
    <i>
      <x v="5"/>
    </i>
    <i>
      <x v="7"/>
    </i>
    <i>
      <x v="12"/>
    </i>
    <i>
      <x v="13"/>
    </i>
    <i>
      <x v="15"/>
    </i>
    <i>
      <x v="16"/>
    </i>
    <i>
      <x v="18"/>
    </i>
    <i>
      <x v="24"/>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B15" firstHeaderRow="1" firstDataRow="1" firstDataCol="1"/>
  <pivotFields count="8">
    <pivotField showAll="0"/>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items count="4">
        <item h="1" x="2"/>
        <item x="0"/>
        <item h="1" x="1"/>
        <item t="default"/>
      </items>
    </pivotField>
    <pivotField showAll="0"/>
    <pivotField showAll="0"/>
    <pivotField dataField="1" showAll="0"/>
    <pivotField showAll="0"/>
  </pivotFields>
  <rowFields count="1">
    <field x="1"/>
  </rowFields>
  <rowItems count="12">
    <i>
      <x/>
    </i>
    <i>
      <x v="1"/>
    </i>
    <i>
      <x v="4"/>
    </i>
    <i>
      <x v="5"/>
    </i>
    <i>
      <x v="7"/>
    </i>
    <i>
      <x v="12"/>
    </i>
    <i>
      <x v="13"/>
    </i>
    <i>
      <x v="15"/>
    </i>
    <i>
      <x v="16"/>
    </i>
    <i>
      <x v="18"/>
    </i>
    <i>
      <x v="24"/>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4"/>
    <pivotTable tabId="4" name="PivotTable1"/>
    <pivotTable tabId="6" name="PivotTable3"/>
  </pivotTables>
  <data>
    <tabular pivotCacheId="1">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4"/>
  </pivotTables>
  <data>
    <tabular pivotCacheId="1">
      <items count="4">
        <i x="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tabSelected="1" workbookViewId="0">
      <selection activeCell="K20" sqref="K19:K20"/>
    </sheetView>
  </sheetViews>
  <sheetFormatPr defaultRowHeight="15" x14ac:dyDescent="0.25"/>
  <cols>
    <col min="3" max="3" width="13.28515625" customWidth="1"/>
    <col min="4" max="4" width="11.5703125" customWidth="1"/>
  </cols>
  <sheetData>
    <row r="1" spans="1:8" x14ac:dyDescent="0.25">
      <c r="A1" t="s">
        <v>0</v>
      </c>
      <c r="B1" t="s">
        <v>1</v>
      </c>
      <c r="C1" t="s">
        <v>2</v>
      </c>
      <c r="D1" t="s">
        <v>3</v>
      </c>
      <c r="E1" t="s">
        <v>4</v>
      </c>
      <c r="F1" t="s">
        <v>5</v>
      </c>
      <c r="G1" t="s">
        <v>6</v>
      </c>
      <c r="H1" t="s">
        <v>7</v>
      </c>
    </row>
    <row r="2" spans="1:8" x14ac:dyDescent="0.25">
      <c r="A2">
        <v>1001</v>
      </c>
      <c r="B2" s="1">
        <v>46025</v>
      </c>
      <c r="C2" t="s">
        <v>8</v>
      </c>
      <c r="D2" t="s">
        <v>20</v>
      </c>
      <c r="E2" t="s">
        <v>23</v>
      </c>
      <c r="F2">
        <v>2</v>
      </c>
      <c r="G2">
        <v>110000</v>
      </c>
      <c r="H2">
        <v>18000</v>
      </c>
    </row>
    <row r="3" spans="1:8" x14ac:dyDescent="0.25">
      <c r="A3">
        <v>1002</v>
      </c>
      <c r="B3" s="1">
        <v>46027</v>
      </c>
      <c r="C3" t="s">
        <v>9</v>
      </c>
      <c r="D3" t="s">
        <v>20</v>
      </c>
      <c r="E3" t="s">
        <v>24</v>
      </c>
      <c r="F3">
        <v>3</v>
      </c>
      <c r="G3">
        <v>75000</v>
      </c>
      <c r="H3">
        <v>12000</v>
      </c>
    </row>
    <row r="4" spans="1:8" x14ac:dyDescent="0.25">
      <c r="A4">
        <v>1003</v>
      </c>
      <c r="B4" s="1">
        <v>46030</v>
      </c>
      <c r="C4" t="s">
        <v>10</v>
      </c>
      <c r="D4" t="s">
        <v>21</v>
      </c>
      <c r="E4" t="s">
        <v>25</v>
      </c>
      <c r="F4">
        <v>5</v>
      </c>
      <c r="G4">
        <v>35000</v>
      </c>
      <c r="H4">
        <v>8000</v>
      </c>
    </row>
    <row r="5" spans="1:8" x14ac:dyDescent="0.25">
      <c r="A5">
        <v>1004</v>
      </c>
      <c r="B5" s="1">
        <v>46032</v>
      </c>
      <c r="C5" t="s">
        <v>11</v>
      </c>
      <c r="D5" t="s">
        <v>21</v>
      </c>
      <c r="E5" t="s">
        <v>26</v>
      </c>
      <c r="F5">
        <v>2</v>
      </c>
      <c r="G5">
        <v>24000</v>
      </c>
      <c r="H5">
        <v>5000</v>
      </c>
    </row>
    <row r="6" spans="1:8" x14ac:dyDescent="0.25">
      <c r="A6">
        <v>1005</v>
      </c>
      <c r="B6" s="1">
        <v>46034</v>
      </c>
      <c r="C6" t="s">
        <v>12</v>
      </c>
      <c r="D6" t="s">
        <v>20</v>
      </c>
      <c r="E6" t="s">
        <v>23</v>
      </c>
      <c r="F6">
        <v>4</v>
      </c>
      <c r="G6">
        <v>60000</v>
      </c>
      <c r="H6">
        <v>10000</v>
      </c>
    </row>
    <row r="7" spans="1:8" x14ac:dyDescent="0.25">
      <c r="A7">
        <v>1006</v>
      </c>
      <c r="B7" s="1">
        <v>46036</v>
      </c>
      <c r="C7" t="s">
        <v>13</v>
      </c>
      <c r="D7" t="s">
        <v>20</v>
      </c>
      <c r="E7" t="s">
        <v>24</v>
      </c>
      <c r="F7">
        <v>3</v>
      </c>
      <c r="G7">
        <v>54000</v>
      </c>
      <c r="H7">
        <v>9000</v>
      </c>
    </row>
    <row r="8" spans="1:8" x14ac:dyDescent="0.25">
      <c r="A8">
        <v>1007</v>
      </c>
      <c r="B8" s="1">
        <v>46038</v>
      </c>
      <c r="C8" t="s">
        <v>14</v>
      </c>
      <c r="D8" t="s">
        <v>21</v>
      </c>
      <c r="E8" t="s">
        <v>25</v>
      </c>
      <c r="F8">
        <v>2</v>
      </c>
      <c r="G8">
        <v>18000</v>
      </c>
      <c r="H8">
        <v>4000</v>
      </c>
    </row>
    <row r="9" spans="1:8" x14ac:dyDescent="0.25">
      <c r="A9">
        <v>1008</v>
      </c>
      <c r="B9" s="1">
        <v>46040</v>
      </c>
      <c r="C9" t="s">
        <v>15</v>
      </c>
      <c r="D9" t="s">
        <v>20</v>
      </c>
      <c r="E9" t="s">
        <v>26</v>
      </c>
      <c r="F9">
        <v>6</v>
      </c>
      <c r="G9">
        <v>72000</v>
      </c>
      <c r="H9">
        <v>14000</v>
      </c>
    </row>
    <row r="10" spans="1:8" x14ac:dyDescent="0.25">
      <c r="A10">
        <v>1009</v>
      </c>
      <c r="B10" s="1">
        <v>46042</v>
      </c>
      <c r="C10" t="s">
        <v>16</v>
      </c>
      <c r="D10" t="s">
        <v>21</v>
      </c>
      <c r="E10" t="s">
        <v>23</v>
      </c>
      <c r="F10">
        <v>1</v>
      </c>
      <c r="G10">
        <v>45000</v>
      </c>
      <c r="H10">
        <v>10000</v>
      </c>
    </row>
    <row r="11" spans="1:8" x14ac:dyDescent="0.25">
      <c r="A11">
        <v>1010</v>
      </c>
      <c r="B11" s="1">
        <v>46044</v>
      </c>
      <c r="C11" t="s">
        <v>17</v>
      </c>
      <c r="D11" t="s">
        <v>22</v>
      </c>
      <c r="E11" t="s">
        <v>24</v>
      </c>
      <c r="F11">
        <v>10</v>
      </c>
      <c r="G11">
        <v>15000</v>
      </c>
      <c r="H11">
        <v>5000</v>
      </c>
    </row>
    <row r="12" spans="1:8" x14ac:dyDescent="0.25">
      <c r="A12">
        <v>1011</v>
      </c>
      <c r="B12" s="1">
        <v>46047</v>
      </c>
      <c r="C12" t="s">
        <v>18</v>
      </c>
      <c r="D12" t="s">
        <v>22</v>
      </c>
      <c r="E12" t="s">
        <v>25</v>
      </c>
      <c r="F12">
        <v>12</v>
      </c>
      <c r="G12">
        <v>9600</v>
      </c>
      <c r="H12">
        <v>3200</v>
      </c>
    </row>
    <row r="13" spans="1:8" x14ac:dyDescent="0.25">
      <c r="A13">
        <v>1012</v>
      </c>
      <c r="B13" s="1">
        <v>46049</v>
      </c>
      <c r="C13" t="s">
        <v>19</v>
      </c>
      <c r="D13" t="s">
        <v>22</v>
      </c>
      <c r="E13" t="s">
        <v>26</v>
      </c>
      <c r="F13">
        <v>7</v>
      </c>
      <c r="G13">
        <v>21000</v>
      </c>
      <c r="H13">
        <v>7000</v>
      </c>
    </row>
    <row r="14" spans="1:8" x14ac:dyDescent="0.25">
      <c r="A14">
        <v>1013</v>
      </c>
      <c r="B14" s="1">
        <v>46054</v>
      </c>
      <c r="C14" t="s">
        <v>8</v>
      </c>
      <c r="D14" t="s">
        <v>20</v>
      </c>
      <c r="E14" t="s">
        <v>23</v>
      </c>
      <c r="F14">
        <v>1</v>
      </c>
      <c r="G14">
        <v>60000</v>
      </c>
      <c r="H14">
        <v>15000</v>
      </c>
    </row>
    <row r="15" spans="1:8" x14ac:dyDescent="0.25">
      <c r="A15">
        <v>1014</v>
      </c>
      <c r="B15" s="1">
        <v>46056</v>
      </c>
      <c r="C15" t="s">
        <v>9</v>
      </c>
      <c r="D15" t="s">
        <v>20</v>
      </c>
      <c r="E15" t="s">
        <v>24</v>
      </c>
      <c r="F15">
        <v>4</v>
      </c>
      <c r="G15">
        <v>88000</v>
      </c>
      <c r="H15">
        <v>16000</v>
      </c>
    </row>
    <row r="16" spans="1:8" x14ac:dyDescent="0.25">
      <c r="A16">
        <v>1015</v>
      </c>
      <c r="B16" s="1">
        <v>46058</v>
      </c>
      <c r="C16" t="s">
        <v>11</v>
      </c>
      <c r="D16" t="s">
        <v>21</v>
      </c>
      <c r="E16" t="s">
        <v>25</v>
      </c>
      <c r="F16">
        <v>3</v>
      </c>
      <c r="G16">
        <v>33000</v>
      </c>
      <c r="H16">
        <v>7000</v>
      </c>
    </row>
    <row r="17" spans="1:8" x14ac:dyDescent="0.25">
      <c r="A17">
        <v>1016</v>
      </c>
      <c r="B17" s="1">
        <v>46060</v>
      </c>
      <c r="C17" t="s">
        <v>12</v>
      </c>
      <c r="D17" t="s">
        <v>20</v>
      </c>
      <c r="E17" t="s">
        <v>26</v>
      </c>
      <c r="F17">
        <v>2</v>
      </c>
      <c r="G17">
        <v>34000</v>
      </c>
      <c r="H17">
        <v>6000</v>
      </c>
    </row>
    <row r="18" spans="1:8" x14ac:dyDescent="0.25">
      <c r="A18">
        <v>1017</v>
      </c>
      <c r="B18" s="1">
        <v>46062</v>
      </c>
      <c r="C18" t="s">
        <v>13</v>
      </c>
      <c r="D18" t="s">
        <v>20</v>
      </c>
      <c r="E18" t="s">
        <v>23</v>
      </c>
      <c r="F18">
        <v>5</v>
      </c>
      <c r="G18">
        <v>100000</v>
      </c>
      <c r="H18">
        <v>18000</v>
      </c>
    </row>
    <row r="19" spans="1:8" x14ac:dyDescent="0.25">
      <c r="A19">
        <v>1018</v>
      </c>
      <c r="B19" s="1">
        <v>46064</v>
      </c>
      <c r="C19" t="s">
        <v>16</v>
      </c>
      <c r="D19" t="s">
        <v>21</v>
      </c>
      <c r="E19" t="s">
        <v>24</v>
      </c>
      <c r="F19">
        <v>2</v>
      </c>
      <c r="G19">
        <v>100000</v>
      </c>
      <c r="H19">
        <v>22000</v>
      </c>
    </row>
    <row r="20" spans="1:8" x14ac:dyDescent="0.25">
      <c r="A20">
        <v>1019</v>
      </c>
      <c r="B20" s="1">
        <v>46067</v>
      </c>
      <c r="C20" t="s">
        <v>15</v>
      </c>
      <c r="D20" t="s">
        <v>20</v>
      </c>
      <c r="E20" t="s">
        <v>25</v>
      </c>
      <c r="F20">
        <v>4</v>
      </c>
      <c r="G20">
        <v>52000</v>
      </c>
      <c r="H20">
        <v>9000</v>
      </c>
    </row>
    <row r="21" spans="1:8" x14ac:dyDescent="0.25">
      <c r="A21">
        <v>1020</v>
      </c>
      <c r="B21" s="1">
        <v>46069</v>
      </c>
      <c r="C21" t="s">
        <v>17</v>
      </c>
      <c r="D21" t="s">
        <v>22</v>
      </c>
      <c r="E21" t="s">
        <v>26</v>
      </c>
      <c r="F21">
        <v>15</v>
      </c>
      <c r="G21">
        <v>21000</v>
      </c>
      <c r="H21">
        <v>6500</v>
      </c>
    </row>
    <row r="22" spans="1:8" x14ac:dyDescent="0.25">
      <c r="A22">
        <v>1021</v>
      </c>
      <c r="B22" s="1">
        <v>46071</v>
      </c>
      <c r="C22" t="s">
        <v>18</v>
      </c>
      <c r="D22" t="s">
        <v>22</v>
      </c>
      <c r="E22" t="s">
        <v>23</v>
      </c>
      <c r="F22">
        <v>20</v>
      </c>
      <c r="G22">
        <v>15000</v>
      </c>
      <c r="H22">
        <v>4500</v>
      </c>
    </row>
    <row r="23" spans="1:8" x14ac:dyDescent="0.25">
      <c r="A23">
        <v>1022</v>
      </c>
      <c r="B23" s="1">
        <v>46073</v>
      </c>
      <c r="C23" t="s">
        <v>19</v>
      </c>
      <c r="D23" t="s">
        <v>22</v>
      </c>
      <c r="E23" t="s">
        <v>24</v>
      </c>
      <c r="F23">
        <v>6</v>
      </c>
      <c r="G23">
        <v>21000</v>
      </c>
      <c r="H23">
        <v>7000</v>
      </c>
    </row>
    <row r="24" spans="1:8" x14ac:dyDescent="0.25">
      <c r="A24">
        <v>1023</v>
      </c>
      <c r="B24" s="1">
        <v>46076</v>
      </c>
      <c r="C24" t="s">
        <v>10</v>
      </c>
      <c r="D24" t="s">
        <v>21</v>
      </c>
      <c r="E24" t="s">
        <v>25</v>
      </c>
      <c r="F24">
        <v>3</v>
      </c>
      <c r="G24">
        <v>24000</v>
      </c>
      <c r="H24">
        <v>5500</v>
      </c>
    </row>
    <row r="25" spans="1:8" x14ac:dyDescent="0.25">
      <c r="A25">
        <v>1024</v>
      </c>
      <c r="B25" s="1">
        <v>46078</v>
      </c>
      <c r="C25" t="s">
        <v>14</v>
      </c>
      <c r="D25" t="s">
        <v>21</v>
      </c>
      <c r="E25" t="s">
        <v>26</v>
      </c>
      <c r="F25">
        <v>4</v>
      </c>
      <c r="G25">
        <v>38000</v>
      </c>
      <c r="H25">
        <v>8000</v>
      </c>
    </row>
    <row r="26" spans="1:8" x14ac:dyDescent="0.25">
      <c r="A26">
        <v>1025</v>
      </c>
      <c r="B26" s="1">
        <v>46080</v>
      </c>
      <c r="C26" t="s">
        <v>8</v>
      </c>
      <c r="D26" t="s">
        <v>20</v>
      </c>
      <c r="E26" t="s">
        <v>23</v>
      </c>
      <c r="F26">
        <v>2</v>
      </c>
      <c r="G26">
        <v>116000</v>
      </c>
      <c r="H26">
        <v>20000</v>
      </c>
    </row>
  </sheetData>
  <autoFilter ref="A1:H26"/>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15" sqref="D15"/>
    </sheetView>
  </sheetViews>
  <sheetFormatPr defaultRowHeight="15" x14ac:dyDescent="0.25"/>
  <cols>
    <col min="1" max="1" width="12.28515625" customWidth="1"/>
  </cols>
  <sheetData>
    <row r="1" spans="1:2" x14ac:dyDescent="0.25">
      <c r="A1" s="3" t="s">
        <v>27</v>
      </c>
      <c r="B1" s="3">
        <f>SUM(Sheet1!G2:G25)</f>
        <v>1124600</v>
      </c>
    </row>
    <row r="2" spans="1:2" x14ac:dyDescent="0.25">
      <c r="A2" s="3"/>
      <c r="B2" s="3"/>
    </row>
    <row r="3" spans="1:2" x14ac:dyDescent="0.25">
      <c r="A3" s="3" t="s">
        <v>28</v>
      </c>
      <c r="B3" s="3">
        <f>SUM(Sheet1!H2:H25)</f>
        <v>229700</v>
      </c>
    </row>
    <row r="5" spans="1:2" x14ac:dyDescent="0.25">
      <c r="A5" t="s">
        <v>29</v>
      </c>
      <c r="B5">
        <f>COUNTA(Sheet1!A2:A25)</f>
        <v>24</v>
      </c>
    </row>
    <row r="7" spans="1:2" x14ac:dyDescent="0.25">
      <c r="A7" t="s">
        <v>30</v>
      </c>
      <c r="B7" s="2">
        <f>( Dashboard!B3/Dashboard!B1 )</f>
        <v>0.2042504001422728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4" sqref="A4"/>
    </sheetView>
  </sheetViews>
  <sheetFormatPr defaultRowHeight="15" x14ac:dyDescent="0.25"/>
  <cols>
    <col min="1" max="1" width="13.140625" customWidth="1"/>
    <col min="2" max="2" width="12.140625" bestFit="1" customWidth="1"/>
  </cols>
  <sheetData>
    <row r="3" spans="1:2" x14ac:dyDescent="0.25">
      <c r="A3" s="4" t="s">
        <v>31</v>
      </c>
      <c r="B3" t="s">
        <v>33</v>
      </c>
    </row>
    <row r="4" spans="1:2" x14ac:dyDescent="0.25">
      <c r="A4" s="7" t="s">
        <v>8</v>
      </c>
      <c r="B4" s="6">
        <v>286000</v>
      </c>
    </row>
    <row r="5" spans="1:2" x14ac:dyDescent="0.25">
      <c r="A5" s="7" t="s">
        <v>12</v>
      </c>
      <c r="B5" s="6">
        <v>60000</v>
      </c>
    </row>
    <row r="6" spans="1:2" x14ac:dyDescent="0.25">
      <c r="A6" s="7" t="s">
        <v>13</v>
      </c>
      <c r="B6" s="6">
        <v>100000</v>
      </c>
    </row>
    <row r="7" spans="1:2" x14ac:dyDescent="0.25">
      <c r="A7" s="7" t="s">
        <v>32</v>
      </c>
      <c r="B7" s="6">
        <v>446000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M22" sqref="M22"/>
    </sheetView>
  </sheetViews>
  <sheetFormatPr defaultRowHeight="15" x14ac:dyDescent="0.25"/>
  <cols>
    <col min="1" max="1" width="13.140625" bestFit="1" customWidth="1"/>
    <col min="2" max="2" width="12.140625" bestFit="1" customWidth="1"/>
  </cols>
  <sheetData>
    <row r="3" spans="1:2" x14ac:dyDescent="0.25">
      <c r="A3" s="4" t="s">
        <v>31</v>
      </c>
      <c r="B3" t="s">
        <v>33</v>
      </c>
    </row>
    <row r="4" spans="1:2" x14ac:dyDescent="0.25">
      <c r="A4" s="5">
        <v>46025</v>
      </c>
      <c r="B4" s="6">
        <v>110000</v>
      </c>
    </row>
    <row r="5" spans="1:2" x14ac:dyDescent="0.25">
      <c r="A5" s="5">
        <v>46027</v>
      </c>
      <c r="B5" s="6">
        <v>75000</v>
      </c>
    </row>
    <row r="6" spans="1:2" x14ac:dyDescent="0.25">
      <c r="A6" s="5">
        <v>46034</v>
      </c>
      <c r="B6" s="6">
        <v>60000</v>
      </c>
    </row>
    <row r="7" spans="1:2" x14ac:dyDescent="0.25">
      <c r="A7" s="5">
        <v>46036</v>
      </c>
      <c r="B7" s="6">
        <v>54000</v>
      </c>
    </row>
    <row r="8" spans="1:2" x14ac:dyDescent="0.25">
      <c r="A8" s="5">
        <v>46040</v>
      </c>
      <c r="B8" s="6">
        <v>72000</v>
      </c>
    </row>
    <row r="9" spans="1:2" x14ac:dyDescent="0.25">
      <c r="A9" s="5">
        <v>46054</v>
      </c>
      <c r="B9" s="6">
        <v>60000</v>
      </c>
    </row>
    <row r="10" spans="1:2" x14ac:dyDescent="0.25">
      <c r="A10" s="5">
        <v>46056</v>
      </c>
      <c r="B10" s="6">
        <v>88000</v>
      </c>
    </row>
    <row r="11" spans="1:2" x14ac:dyDescent="0.25">
      <c r="A11" s="5">
        <v>46060</v>
      </c>
      <c r="B11" s="6">
        <v>34000</v>
      </c>
    </row>
    <row r="12" spans="1:2" x14ac:dyDescent="0.25">
      <c r="A12" s="5">
        <v>46062</v>
      </c>
      <c r="B12" s="6">
        <v>100000</v>
      </c>
    </row>
    <row r="13" spans="1:2" x14ac:dyDescent="0.25">
      <c r="A13" s="5">
        <v>46067</v>
      </c>
      <c r="B13" s="6">
        <v>52000</v>
      </c>
    </row>
    <row r="14" spans="1:2" x14ac:dyDescent="0.25">
      <c r="A14" s="5">
        <v>46080</v>
      </c>
      <c r="B14" s="6">
        <v>116000</v>
      </c>
    </row>
    <row r="15" spans="1:2" x14ac:dyDescent="0.25">
      <c r="A15" s="5" t="s">
        <v>32</v>
      </c>
      <c r="B15" s="6">
        <v>821000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topLeftCell="J1" workbookViewId="0">
      <selection activeCell="AB9" sqref="AB9"/>
    </sheetView>
  </sheetViews>
  <sheetFormatPr defaultRowHeight="15" x14ac:dyDescent="0.25"/>
  <cols>
    <col min="1" max="1" width="13.140625" bestFit="1" customWidth="1"/>
    <col min="2" max="2" width="12.140625" bestFit="1" customWidth="1"/>
  </cols>
  <sheetData>
    <row r="3" spans="1:2" x14ac:dyDescent="0.25">
      <c r="A3" s="4" t="s">
        <v>31</v>
      </c>
      <c r="B3" t="s">
        <v>33</v>
      </c>
    </row>
    <row r="4" spans="1:2" x14ac:dyDescent="0.25">
      <c r="A4" s="5">
        <v>46025</v>
      </c>
      <c r="B4" s="6">
        <v>110000</v>
      </c>
    </row>
    <row r="5" spans="1:2" x14ac:dyDescent="0.25">
      <c r="A5" s="5">
        <v>46027</v>
      </c>
      <c r="B5" s="6">
        <v>75000</v>
      </c>
    </row>
    <row r="6" spans="1:2" x14ac:dyDescent="0.25">
      <c r="A6" s="5">
        <v>46034</v>
      </c>
      <c r="B6" s="6">
        <v>60000</v>
      </c>
    </row>
    <row r="7" spans="1:2" x14ac:dyDescent="0.25">
      <c r="A7" s="5">
        <v>46036</v>
      </c>
      <c r="B7" s="6">
        <v>54000</v>
      </c>
    </row>
    <row r="8" spans="1:2" x14ac:dyDescent="0.25">
      <c r="A8" s="5">
        <v>46040</v>
      </c>
      <c r="B8" s="6">
        <v>72000</v>
      </c>
    </row>
    <row r="9" spans="1:2" x14ac:dyDescent="0.25">
      <c r="A9" s="5">
        <v>46054</v>
      </c>
      <c r="B9" s="6">
        <v>60000</v>
      </c>
    </row>
    <row r="10" spans="1:2" x14ac:dyDescent="0.25">
      <c r="A10" s="5">
        <v>46056</v>
      </c>
      <c r="B10" s="6">
        <v>88000</v>
      </c>
    </row>
    <row r="11" spans="1:2" x14ac:dyDescent="0.25">
      <c r="A11" s="5">
        <v>46060</v>
      </c>
      <c r="B11" s="6">
        <v>34000</v>
      </c>
    </row>
    <row r="12" spans="1:2" x14ac:dyDescent="0.25">
      <c r="A12" s="5">
        <v>46062</v>
      </c>
      <c r="B12" s="6">
        <v>100000</v>
      </c>
    </row>
    <row r="13" spans="1:2" x14ac:dyDescent="0.25">
      <c r="A13" s="5">
        <v>46067</v>
      </c>
      <c r="B13" s="6">
        <v>52000</v>
      </c>
    </row>
    <row r="14" spans="1:2" x14ac:dyDescent="0.25">
      <c r="A14" s="5">
        <v>46080</v>
      </c>
      <c r="B14" s="6">
        <v>116000</v>
      </c>
    </row>
    <row r="15" spans="1:2" x14ac:dyDescent="0.25">
      <c r="A15" s="5" t="s">
        <v>32</v>
      </c>
      <c r="B15" s="6">
        <v>821000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Sheet7</vt:lpstr>
      <vt:lpstr>Sheet6</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FAIRY</dc:creator>
  <cp:lastModifiedBy>FAIRY</cp:lastModifiedBy>
  <dcterms:created xsi:type="dcterms:W3CDTF">2025-06-14T05:51:42Z</dcterms:created>
  <dcterms:modified xsi:type="dcterms:W3CDTF">2026-07-04T17:36:52Z</dcterms:modified>
</cp:coreProperties>
</file>